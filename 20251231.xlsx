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28800" windowHeight="12285" activeTab="4"/>
  </bookViews>
  <sheets>
    <sheet name="Sheet1" sheetId="1" r:id="rId1"/>
    <sheet name="Sheet2" sheetId="2" r:id="rId2"/>
    <sheet name="Sheet3" sheetId="3" r:id="rId3"/>
    <sheet name="직원관리명단표" sheetId="4" r:id="rId4"/>
    <sheet name="재고 관리표" sheetId="6" r:id="rId5"/>
    <sheet name="직원관리명단표 (2)" sheetId="5" r:id="rId6"/>
  </sheets>
  <definedNames>
    <definedName name="_xlnm._FilterDatabase" localSheetId="3" hidden="1">직원관리명단표!$A$3:$E$12</definedName>
    <definedName name="_xlnm._FilterDatabase" localSheetId="5" hidden="1">'직원관리명단표 (2)'!$A$3:$E$13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6" l="1"/>
  <c r="F5" i="6"/>
  <c r="F6" i="6"/>
  <c r="F7" i="6"/>
  <c r="F8" i="6"/>
  <c r="F9" i="6"/>
  <c r="F10" i="6"/>
  <c r="F11" i="6"/>
  <c r="F4" i="6"/>
  <c r="B20" i="6"/>
  <c r="B19" i="6"/>
  <c r="B18" i="6"/>
  <c r="B17" i="6"/>
  <c r="B15" i="6"/>
  <c r="B14" i="6"/>
  <c r="E19" i="3" l="1"/>
  <c r="D19" i="3"/>
  <c r="C19" i="3"/>
  <c r="E17" i="3"/>
  <c r="E18" i="3"/>
  <c r="D18" i="3"/>
  <c r="D17" i="3"/>
  <c r="C18" i="3"/>
  <c r="C17" i="3"/>
  <c r="G9" i="3"/>
  <c r="G10" i="3"/>
  <c r="G11" i="3"/>
  <c r="G12" i="3"/>
  <c r="G13" i="3"/>
  <c r="G14" i="3"/>
  <c r="G15" i="3"/>
  <c r="F9" i="3"/>
  <c r="F10" i="3"/>
  <c r="F11" i="3"/>
  <c r="F12" i="3"/>
  <c r="F13" i="3"/>
  <c r="F14" i="3"/>
  <c r="F15" i="3"/>
  <c r="F4" i="3"/>
  <c r="G5" i="3"/>
  <c r="G6" i="3"/>
  <c r="G7" i="3"/>
  <c r="G8" i="3"/>
  <c r="G4" i="3"/>
  <c r="F6" i="3"/>
  <c r="F7" i="3"/>
  <c r="F8" i="3"/>
  <c r="F5" i="3"/>
  <c r="I5" i="3" l="1"/>
</calcChain>
</file>

<file path=xl/sharedStrings.xml><?xml version="1.0" encoding="utf-8"?>
<sst xmlns="http://schemas.openxmlformats.org/spreadsheetml/2006/main" count="157" uniqueCount="116">
  <si>
    <t>일</t>
    <phoneticPr fontId="3" type="noConversion"/>
  </si>
  <si>
    <t>월</t>
    <phoneticPr fontId="3" type="noConversion"/>
  </si>
  <si>
    <t>화</t>
    <phoneticPr fontId="3" type="noConversion"/>
  </si>
  <si>
    <t xml:space="preserve">수 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</si>
  <si>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</si>
  <si>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</si>
  <si>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</si>
  <si>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2026년 1월</t>
    <phoneticPr fontId="3" type="noConversion"/>
  </si>
  <si>
    <t>5
HTML</t>
    <phoneticPr fontId="3" type="noConversion"/>
  </si>
  <si>
    <t>1
신년휴가</t>
    <phoneticPr fontId="3" type="noConversion"/>
  </si>
  <si>
    <t>2
휴강</t>
    <phoneticPr fontId="3" type="noConversion"/>
  </si>
  <si>
    <t>6
HTML</t>
    <phoneticPr fontId="3" type="noConversion"/>
  </si>
  <si>
    <t>7
CSS</t>
    <phoneticPr fontId="3" type="noConversion"/>
  </si>
  <si>
    <t>8
CSS</t>
    <phoneticPr fontId="3" type="noConversion"/>
  </si>
  <si>
    <t>9
CSS</t>
    <phoneticPr fontId="3" type="noConversion"/>
  </si>
  <si>
    <t>12
CSS</t>
    <phoneticPr fontId="3" type="noConversion"/>
  </si>
  <si>
    <t>14
JavaScript</t>
    <phoneticPr fontId="3" type="noConversion"/>
  </si>
  <si>
    <t>15
JavaScript</t>
    <phoneticPr fontId="3" type="noConversion"/>
  </si>
  <si>
    <t>16
JavaScript</t>
    <phoneticPr fontId="3" type="noConversion"/>
  </si>
  <si>
    <t>19
JavaScript</t>
    <phoneticPr fontId="3" type="noConversion"/>
  </si>
  <si>
    <t>20
JavaScript</t>
    <phoneticPr fontId="3" type="noConversion"/>
  </si>
  <si>
    <t>21
JavaScript
PWPP</t>
    <phoneticPr fontId="3" type="noConversion"/>
  </si>
  <si>
    <t>22
JavaScript
PWPP</t>
    <phoneticPr fontId="3" type="noConversion"/>
  </si>
  <si>
    <t>23
JavaScript
PWPP</t>
    <phoneticPr fontId="3" type="noConversion"/>
  </si>
  <si>
    <r>
      <t xml:space="preserve">26
</t>
    </r>
    <r>
      <rPr>
        <sz val="10"/>
        <color theme="1"/>
        <rFont val="맑은 고딕"/>
        <family val="3"/>
        <charset val="129"/>
        <scheme val="minor"/>
      </rPr>
      <t>과정 마무리 테스트</t>
    </r>
    <phoneticPr fontId="3" type="noConversion"/>
  </si>
  <si>
    <t>13
PWPP</t>
    <phoneticPr fontId="3" type="noConversion"/>
  </si>
  <si>
    <t>2024학년도 2학기 성적표</t>
    <phoneticPr fontId="3" type="noConversion"/>
  </si>
  <si>
    <t>번호</t>
    <phoneticPr fontId="3" type="noConversion"/>
  </si>
  <si>
    <t>이름</t>
    <phoneticPr fontId="3" type="noConversion"/>
  </si>
  <si>
    <t>국어</t>
    <phoneticPr fontId="3" type="noConversion"/>
  </si>
  <si>
    <t>영어</t>
    <phoneticPr fontId="3" type="noConversion"/>
  </si>
  <si>
    <t>수학</t>
    <phoneticPr fontId="3" type="noConversion"/>
  </si>
  <si>
    <t>총점</t>
    <phoneticPr fontId="3" type="noConversion"/>
  </si>
  <si>
    <t>평균</t>
    <phoneticPr fontId="3" type="noConversion"/>
  </si>
  <si>
    <t>김민수</t>
    <phoneticPr fontId="3" type="noConversion"/>
  </si>
  <si>
    <t>이지은</t>
    <phoneticPr fontId="3" type="noConversion"/>
  </si>
  <si>
    <t>박철수</t>
    <phoneticPr fontId="3" type="noConversion"/>
  </si>
  <si>
    <t>정수진</t>
    <phoneticPr fontId="3" type="noConversion"/>
  </si>
  <si>
    <t>최영호</t>
    <phoneticPr fontId="3" type="noConversion"/>
  </si>
  <si>
    <t>김동호</t>
    <phoneticPr fontId="3" type="noConversion"/>
  </si>
  <si>
    <t>최고점</t>
    <phoneticPr fontId="3" type="noConversion"/>
  </si>
  <si>
    <t>최저점</t>
    <phoneticPr fontId="3" type="noConversion"/>
  </si>
  <si>
    <t>평균</t>
    <phoneticPr fontId="3" type="noConversion"/>
  </si>
  <si>
    <t>강해찬</t>
    <phoneticPr fontId="3" type="noConversion"/>
  </si>
  <si>
    <t>윤성필</t>
    <phoneticPr fontId="3" type="noConversion"/>
  </si>
  <si>
    <t>이병건</t>
    <phoneticPr fontId="3" type="noConversion"/>
  </si>
  <si>
    <t>이상혁</t>
    <phoneticPr fontId="3" type="noConversion"/>
  </si>
  <si>
    <t>신창섭</t>
    <phoneticPr fontId="3" type="noConversion"/>
  </si>
  <si>
    <t>배두나</t>
    <phoneticPr fontId="3" type="noConversion"/>
  </si>
  <si>
    <t>직원 명단</t>
    <phoneticPr fontId="3" type="noConversion"/>
  </si>
  <si>
    <t>사번</t>
    <phoneticPr fontId="3" type="noConversion"/>
  </si>
  <si>
    <t>이름</t>
    <phoneticPr fontId="3" type="noConversion"/>
  </si>
  <si>
    <t>부서</t>
    <phoneticPr fontId="3" type="noConversion"/>
  </si>
  <si>
    <t>직급</t>
    <phoneticPr fontId="3" type="noConversion"/>
  </si>
  <si>
    <t>입사일</t>
    <phoneticPr fontId="3" type="noConversion"/>
  </si>
  <si>
    <t>김민수</t>
    <phoneticPr fontId="3" type="noConversion"/>
  </si>
  <si>
    <t>이지은</t>
    <phoneticPr fontId="3" type="noConversion"/>
  </si>
  <si>
    <t>박철수</t>
    <phoneticPr fontId="3" type="noConversion"/>
  </si>
  <si>
    <t>정수진</t>
    <phoneticPr fontId="3" type="noConversion"/>
  </si>
  <si>
    <t>최영호</t>
    <phoneticPr fontId="3" type="noConversion"/>
  </si>
  <si>
    <t>강미래</t>
    <phoneticPr fontId="3" type="noConversion"/>
  </si>
  <si>
    <t>윤서준</t>
    <phoneticPr fontId="3" type="noConversion"/>
  </si>
  <si>
    <t>한소희</t>
    <phoneticPr fontId="3" type="noConversion"/>
  </si>
  <si>
    <t>김민수</t>
    <phoneticPr fontId="3" type="noConversion"/>
  </si>
  <si>
    <t>장동건</t>
    <phoneticPr fontId="3" type="noConversion"/>
  </si>
  <si>
    <t>영업팀</t>
    <phoneticPr fontId="3" type="noConversion"/>
  </si>
  <si>
    <t>기획팀</t>
    <phoneticPr fontId="3" type="noConversion"/>
  </si>
  <si>
    <t>영업팀</t>
    <phoneticPr fontId="3" type="noConversion"/>
  </si>
  <si>
    <t>개발팀</t>
    <phoneticPr fontId="3" type="noConversion"/>
  </si>
  <si>
    <t>영업팀</t>
    <phoneticPr fontId="3" type="noConversion"/>
  </si>
  <si>
    <t>인사팀</t>
    <phoneticPr fontId="3" type="noConversion"/>
  </si>
  <si>
    <t>영업팀</t>
    <phoneticPr fontId="3" type="noConversion"/>
  </si>
  <si>
    <t>개발팀</t>
    <phoneticPr fontId="3" type="noConversion"/>
  </si>
  <si>
    <t>대리</t>
    <phoneticPr fontId="3" type="noConversion"/>
  </si>
  <si>
    <t>과장</t>
    <phoneticPr fontId="3" type="noConversion"/>
  </si>
  <si>
    <t>사원</t>
    <phoneticPr fontId="3" type="noConversion"/>
  </si>
  <si>
    <t>차장</t>
    <phoneticPr fontId="3" type="noConversion"/>
  </si>
  <si>
    <t>대리</t>
    <phoneticPr fontId="3" type="noConversion"/>
  </si>
  <si>
    <t>과장</t>
    <phoneticPr fontId="3" type="noConversion"/>
  </si>
  <si>
    <t>부장</t>
    <phoneticPr fontId="3" type="noConversion"/>
  </si>
  <si>
    <t>과장</t>
  </si>
  <si>
    <t>재고 관리표</t>
    <phoneticPr fontId="3" type="noConversion"/>
  </si>
  <si>
    <t>품목 코드</t>
    <phoneticPr fontId="3" type="noConversion"/>
  </si>
  <si>
    <t>품목명</t>
    <phoneticPr fontId="3" type="noConversion"/>
  </si>
  <si>
    <t>카테고리</t>
    <phoneticPr fontId="3" type="noConversion"/>
  </si>
  <si>
    <t>현재재고</t>
    <phoneticPr fontId="3" type="noConversion"/>
  </si>
  <si>
    <t>안전재고</t>
    <phoneticPr fontId="3" type="noConversion"/>
  </si>
  <si>
    <t>상태</t>
    <phoneticPr fontId="3" type="noConversion"/>
  </si>
  <si>
    <t>P001</t>
    <phoneticPr fontId="3" type="noConversion"/>
  </si>
  <si>
    <t>P002</t>
  </si>
  <si>
    <t>P003</t>
  </si>
  <si>
    <t>P004</t>
  </si>
  <si>
    <t>P005</t>
  </si>
  <si>
    <t>P006</t>
  </si>
  <si>
    <t>P007</t>
  </si>
  <si>
    <t>P008</t>
  </si>
  <si>
    <t>노트북</t>
    <phoneticPr fontId="3" type="noConversion"/>
  </si>
  <si>
    <t>마우스</t>
    <phoneticPr fontId="3" type="noConversion"/>
  </si>
  <si>
    <t>의자</t>
    <phoneticPr fontId="3" type="noConversion"/>
  </si>
  <si>
    <t>책상</t>
    <phoneticPr fontId="3" type="noConversion"/>
  </si>
  <si>
    <t>모니터</t>
    <phoneticPr fontId="3" type="noConversion"/>
  </si>
  <si>
    <t>키보드</t>
    <phoneticPr fontId="3" type="noConversion"/>
  </si>
  <si>
    <t>책장</t>
    <phoneticPr fontId="3" type="noConversion"/>
  </si>
  <si>
    <t>프린터</t>
    <phoneticPr fontId="3" type="noConversion"/>
  </si>
  <si>
    <t>가구</t>
  </si>
  <si>
    <t>가구</t>
    <phoneticPr fontId="3" type="noConversion"/>
  </si>
  <si>
    <t>재고 현황 요약</t>
    <phoneticPr fontId="3" type="noConversion"/>
  </si>
  <si>
    <t>총 품목 수</t>
    <phoneticPr fontId="3" type="noConversion"/>
  </si>
  <si>
    <t>부족 품목 수</t>
    <phoneticPr fontId="3" type="noConversion"/>
  </si>
  <si>
    <t>전자제품 재고</t>
    <phoneticPr fontId="3" type="noConversion"/>
  </si>
  <si>
    <t>가구 재고</t>
    <phoneticPr fontId="3" type="noConversion"/>
  </si>
  <si>
    <t>가구 총 재고량</t>
    <phoneticPr fontId="3" type="noConversion"/>
  </si>
  <si>
    <t>전자제품 총 재고량</t>
    <phoneticPr fontId="3" type="noConversion"/>
  </si>
  <si>
    <t>전자제품</t>
    <phoneticPr fontId="3" type="noConversion"/>
  </si>
  <si>
    <t>전자제품</t>
    <phoneticPr fontId="3" type="noConversion"/>
  </si>
  <si>
    <t>긴급 품목 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</si>
</sst>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_ 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right" vertical="top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>
      <alignment vertical="center"/>
    </xf>
    <xf numFmtId="176" fontId="0" fillId="6" borderId="3" xfId="0" applyNumberForma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76" fontId="0" fillId="6" borderId="11" xfId="0" applyNumberForma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8"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9" sqref="F9"/>
    </sheetView>
  </sheetViews>
  <sheetFormatPr defaultRowHeight="16.5" x14ac:dyDescent="0.3"/>
  <cols>
    <col min="5" max="5" width="10.125" customWidth="1"/>
  </cols>
  <sheetData>
    <row r="1" spans="1:5" x14ac:dyDescent="0.3">
      <c r="A1" s="1"/>
      <c r="B1" s="1"/>
      <c r="C1" s="1"/>
    </row>
    <row r="2" spans="1:5" x14ac:dyDescent="0.3">
      <c r="A2" s="1"/>
      <c r="B2" s="1"/>
      <c r="C2" s="1"/>
    </row>
    <row r="3" spans="1:5" x14ac:dyDescent="0.3">
      <c r="A3" s="1"/>
      <c r="B3" s="1"/>
      <c r="C3" s="1"/>
    </row>
    <row r="5" spans="1:5" x14ac:dyDescent="0.3">
      <c r="E5" s="2">
        <v>30000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zoomScale="130" zoomScaleNormal="130" workbookViewId="0">
      <selection activeCell="I3" sqref="I3"/>
    </sheetView>
  </sheetViews>
  <sheetFormatPr defaultRowHeight="16.5" x14ac:dyDescent="0.3"/>
  <cols>
    <col min="1" max="7" width="10" customWidth="1"/>
  </cols>
  <sheetData>
    <row r="1" spans="1:16" ht="30" customHeight="1" x14ac:dyDescent="0.3">
      <c r="A1" s="28" t="s">
        <v>7</v>
      </c>
      <c r="B1" s="28"/>
      <c r="C1" s="28"/>
      <c r="D1" s="28"/>
      <c r="E1" s="28"/>
      <c r="F1" s="28"/>
      <c r="G1" s="28"/>
    </row>
    <row r="2" spans="1:16" ht="20.2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16" ht="60" customHeight="1" x14ac:dyDescent="0.3">
      <c r="A3" s="5"/>
      <c r="B3" s="5"/>
      <c r="C3" s="5"/>
      <c r="D3" s="5"/>
      <c r="E3" s="6" t="s">
        <v>9</v>
      </c>
      <c r="F3" s="6" t="s">
        <v>10</v>
      </c>
      <c r="G3" s="5">
        <v>3</v>
      </c>
    </row>
    <row r="4" spans="1:16" ht="60" customHeight="1" x14ac:dyDescent="0.3">
      <c r="A4" s="5">
        <v>4</v>
      </c>
      <c r="B4" s="6" t="s">
        <v>8</v>
      </c>
      <c r="C4" s="6" t="s">
        <v>11</v>
      </c>
      <c r="D4" s="6" t="s">
        <v>12</v>
      </c>
      <c r="E4" s="6" t="s">
        <v>13</v>
      </c>
      <c r="F4" s="6" t="s">
        <v>14</v>
      </c>
      <c r="G4" s="5">
        <v>10</v>
      </c>
    </row>
    <row r="5" spans="1:16" ht="60" customHeight="1" x14ac:dyDescent="0.3">
      <c r="A5" s="5">
        <v>11</v>
      </c>
      <c r="B5" s="6" t="s">
        <v>15</v>
      </c>
      <c r="C5" s="6" t="s">
        <v>25</v>
      </c>
      <c r="D5" s="6" t="s">
        <v>16</v>
      </c>
      <c r="E5" s="6" t="s">
        <v>17</v>
      </c>
      <c r="F5" s="6" t="s">
        <v>18</v>
      </c>
      <c r="G5" s="5">
        <v>17</v>
      </c>
    </row>
    <row r="6" spans="1:16" ht="60" customHeight="1" x14ac:dyDescent="0.3">
      <c r="A6" s="5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5">
        <v>24</v>
      </c>
    </row>
    <row r="7" spans="1:16" ht="60" customHeight="1" x14ac:dyDescent="0.3">
      <c r="A7" s="5">
        <v>25</v>
      </c>
      <c r="B7" s="6" t="s">
        <v>24</v>
      </c>
      <c r="C7" s="5">
        <v>27</v>
      </c>
      <c r="D7" s="5">
        <v>28</v>
      </c>
      <c r="E7" s="5">
        <v>29</v>
      </c>
      <c r="F7" s="5">
        <v>30</v>
      </c>
      <c r="G7" s="5">
        <v>31</v>
      </c>
      <c r="J7" s="3"/>
      <c r="K7" s="3"/>
      <c r="L7" s="3"/>
      <c r="M7" s="3"/>
      <c r="N7" s="3"/>
      <c r="O7" s="3"/>
      <c r="P7" s="3"/>
    </row>
  </sheetData>
  <mergeCells count="1">
    <mergeCell ref="A1:G1"/>
  </mergeCells>
  <phoneticPr fontId="3" type="noConversion"/>
  <conditionalFormatting sqref="G3:G7">
    <cfRule type="expression" dxfId="7" priority="5">
      <formula>G3&lt;&gt;""</formula>
    </cfRule>
  </conditionalFormatting>
  <conditionalFormatting sqref="A3:A7">
    <cfRule type="expression" dxfId="6" priority="4">
      <formula>A3&lt;&gt;""</formula>
    </cfRule>
  </conditionalFormatting>
  <conditionalFormatting sqref="P7">
    <cfRule type="expression" dxfId="5" priority="3">
      <formula>P7&lt;&gt;""</formula>
    </cfRule>
  </conditionalFormatting>
  <conditionalFormatting sqref="J7">
    <cfRule type="expression" dxfId="4" priority="2">
      <formula>J7&lt;&gt;""</formula>
    </cfRule>
  </conditionalFormatting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6" sqref="B16"/>
    </sheetView>
  </sheetViews>
  <sheetFormatPr defaultRowHeight="16.5" x14ac:dyDescent="0.3"/>
  <cols>
    <col min="2" max="2" width="9" customWidth="1"/>
  </cols>
  <sheetData>
    <row r="1" spans="1:9" ht="26.25" x14ac:dyDescent="0.3">
      <c r="A1" s="29" t="s">
        <v>26</v>
      </c>
      <c r="B1" s="29"/>
      <c r="C1" s="29"/>
      <c r="D1" s="29"/>
      <c r="E1" s="29"/>
      <c r="F1" s="29"/>
      <c r="G1" s="29"/>
    </row>
    <row r="3" spans="1:9" x14ac:dyDescent="0.3">
      <c r="A3" s="8" t="s">
        <v>27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</row>
    <row r="4" spans="1:9" x14ac:dyDescent="0.3">
      <c r="A4" s="10">
        <v>1</v>
      </c>
      <c r="B4" s="10" t="s">
        <v>34</v>
      </c>
      <c r="C4" s="10">
        <v>70</v>
      </c>
      <c r="D4" s="10">
        <v>90</v>
      </c>
      <c r="E4" s="10">
        <v>78</v>
      </c>
      <c r="F4" s="10">
        <f>C4+D4+E4</f>
        <v>238</v>
      </c>
      <c r="G4" s="11">
        <f>AVERAGE(C4:E4)</f>
        <v>79.333333333333329</v>
      </c>
    </row>
    <row r="5" spans="1:9" x14ac:dyDescent="0.3">
      <c r="A5" s="10">
        <v>2</v>
      </c>
      <c r="B5" s="10" t="s">
        <v>35</v>
      </c>
      <c r="C5" s="10">
        <v>92</v>
      </c>
      <c r="D5" s="10">
        <v>88</v>
      </c>
      <c r="E5" s="10">
        <v>95</v>
      </c>
      <c r="F5" s="10">
        <f>SUM(C5:E5)</f>
        <v>275</v>
      </c>
      <c r="G5" s="11">
        <f t="shared" ref="G5:G15" si="0">AVERAGE(C5:E5)</f>
        <v>91.666666666666671</v>
      </c>
      <c r="I5" s="11">
        <f>AVERAGE(G4:G15)</f>
        <v>91.3611111111111</v>
      </c>
    </row>
    <row r="6" spans="1:9" x14ac:dyDescent="0.3">
      <c r="A6" s="10">
        <v>3</v>
      </c>
      <c r="B6" s="10" t="s">
        <v>36</v>
      </c>
      <c r="C6" s="10">
        <v>78</v>
      </c>
      <c r="D6" s="10">
        <v>92</v>
      </c>
      <c r="E6" s="10">
        <v>85</v>
      </c>
      <c r="F6" s="10">
        <f t="shared" ref="F6:F15" si="1">SUM(C6:E6)</f>
        <v>255</v>
      </c>
      <c r="G6" s="11">
        <f t="shared" si="0"/>
        <v>85</v>
      </c>
    </row>
    <row r="7" spans="1:9" x14ac:dyDescent="0.3">
      <c r="A7" s="10">
        <v>4</v>
      </c>
      <c r="B7" s="10" t="s">
        <v>37</v>
      </c>
      <c r="C7" s="10">
        <v>88</v>
      </c>
      <c r="D7" s="10">
        <v>91</v>
      </c>
      <c r="E7" s="10">
        <v>89</v>
      </c>
      <c r="F7" s="10">
        <f t="shared" si="1"/>
        <v>268</v>
      </c>
      <c r="G7" s="11">
        <f t="shared" si="0"/>
        <v>89.333333333333329</v>
      </c>
    </row>
    <row r="8" spans="1:9" x14ac:dyDescent="0.3">
      <c r="A8" s="10">
        <v>5</v>
      </c>
      <c r="B8" s="10" t="s">
        <v>38</v>
      </c>
      <c r="C8" s="10">
        <v>95</v>
      </c>
      <c r="D8" s="10">
        <v>85</v>
      </c>
      <c r="E8" s="10">
        <v>92</v>
      </c>
      <c r="F8" s="10">
        <f t="shared" si="1"/>
        <v>272</v>
      </c>
      <c r="G8" s="11">
        <f t="shared" si="0"/>
        <v>90.666666666666671</v>
      </c>
    </row>
    <row r="9" spans="1:9" x14ac:dyDescent="0.3">
      <c r="A9" s="10">
        <v>6</v>
      </c>
      <c r="B9" s="10" t="s">
        <v>39</v>
      </c>
      <c r="C9" s="12">
        <v>94</v>
      </c>
      <c r="D9" s="12">
        <v>99</v>
      </c>
      <c r="E9" s="12">
        <v>89</v>
      </c>
      <c r="F9" s="10">
        <f t="shared" si="1"/>
        <v>282</v>
      </c>
      <c r="G9" s="11">
        <f t="shared" si="0"/>
        <v>94</v>
      </c>
    </row>
    <row r="10" spans="1:9" x14ac:dyDescent="0.3">
      <c r="A10" s="10">
        <v>7</v>
      </c>
      <c r="B10" s="10" t="s">
        <v>43</v>
      </c>
      <c r="C10" s="12">
        <v>99</v>
      </c>
      <c r="D10" s="12">
        <v>98</v>
      </c>
      <c r="E10" s="12">
        <v>99</v>
      </c>
      <c r="F10" s="10">
        <f t="shared" si="1"/>
        <v>296</v>
      </c>
      <c r="G10" s="11">
        <f t="shared" si="0"/>
        <v>98.666666666666671</v>
      </c>
    </row>
    <row r="11" spans="1:9" x14ac:dyDescent="0.3">
      <c r="A11" s="10">
        <v>8</v>
      </c>
      <c r="B11" s="10" t="s">
        <v>44</v>
      </c>
      <c r="C11" s="12">
        <v>96</v>
      </c>
      <c r="D11" s="12">
        <v>100</v>
      </c>
      <c r="E11" s="12">
        <v>80</v>
      </c>
      <c r="F11" s="10">
        <f t="shared" si="1"/>
        <v>276</v>
      </c>
      <c r="G11" s="11">
        <f t="shared" si="0"/>
        <v>92</v>
      </c>
    </row>
    <row r="12" spans="1:9" x14ac:dyDescent="0.3">
      <c r="A12" s="10">
        <v>9</v>
      </c>
      <c r="B12" s="10" t="s">
        <v>45</v>
      </c>
      <c r="C12" s="12">
        <v>100</v>
      </c>
      <c r="D12" s="12">
        <v>78</v>
      </c>
      <c r="E12" s="12">
        <v>100</v>
      </c>
      <c r="F12" s="10">
        <f t="shared" si="1"/>
        <v>278</v>
      </c>
      <c r="G12" s="11">
        <f t="shared" si="0"/>
        <v>92.666666666666671</v>
      </c>
    </row>
    <row r="13" spans="1:9" x14ac:dyDescent="0.3">
      <c r="A13" s="10">
        <v>10</v>
      </c>
      <c r="B13" s="10" t="s">
        <v>46</v>
      </c>
      <c r="C13" s="12">
        <v>100</v>
      </c>
      <c r="D13" s="12">
        <v>100</v>
      </c>
      <c r="E13" s="12">
        <v>100</v>
      </c>
      <c r="F13" s="10">
        <f t="shared" si="1"/>
        <v>300</v>
      </c>
      <c r="G13" s="11">
        <f t="shared" si="0"/>
        <v>100</v>
      </c>
    </row>
    <row r="14" spans="1:9" x14ac:dyDescent="0.3">
      <c r="A14" s="10">
        <v>11</v>
      </c>
      <c r="B14" s="10" t="s">
        <v>47</v>
      </c>
      <c r="C14" s="12">
        <v>100</v>
      </c>
      <c r="D14" s="12">
        <v>49</v>
      </c>
      <c r="E14" s="12">
        <v>100</v>
      </c>
      <c r="F14" s="10">
        <f t="shared" si="1"/>
        <v>249</v>
      </c>
      <c r="G14" s="11">
        <f t="shared" si="0"/>
        <v>83</v>
      </c>
    </row>
    <row r="15" spans="1:9" x14ac:dyDescent="0.3">
      <c r="A15" s="10">
        <v>12</v>
      </c>
      <c r="B15" s="10" t="s">
        <v>48</v>
      </c>
      <c r="C15" s="12">
        <v>100</v>
      </c>
      <c r="D15" s="12">
        <v>100</v>
      </c>
      <c r="E15" s="12">
        <v>100</v>
      </c>
      <c r="F15" s="10">
        <f t="shared" si="1"/>
        <v>300</v>
      </c>
      <c r="G15" s="11">
        <f t="shared" si="0"/>
        <v>100</v>
      </c>
    </row>
    <row r="16" spans="1:9" ht="17.25" thickBot="1" x14ac:dyDescent="0.35">
      <c r="A16" s="17"/>
      <c r="B16" s="17"/>
      <c r="C16" s="17"/>
      <c r="D16" s="17"/>
      <c r="E16" s="17"/>
      <c r="F16" s="9"/>
      <c r="G16" s="9"/>
    </row>
    <row r="17" spans="1:7" x14ac:dyDescent="0.3">
      <c r="A17" s="18" t="s">
        <v>40</v>
      </c>
      <c r="B17" s="19"/>
      <c r="C17" s="20">
        <f>MAX(C4:C15)</f>
        <v>100</v>
      </c>
      <c r="D17" s="20">
        <f>MAX(D4:D15)</f>
        <v>100</v>
      </c>
      <c r="E17" s="21">
        <f>MAX(E4:E15)</f>
        <v>100</v>
      </c>
      <c r="F17" s="16"/>
      <c r="G17" s="9"/>
    </row>
    <row r="18" spans="1:7" x14ac:dyDescent="0.3">
      <c r="A18" s="22" t="s">
        <v>41</v>
      </c>
      <c r="B18" s="9"/>
      <c r="C18" s="13">
        <f>MIN(C4:C15)</f>
        <v>70</v>
      </c>
      <c r="D18" s="13">
        <f>MIN(D4:D15)</f>
        <v>49</v>
      </c>
      <c r="E18" s="23">
        <f>MIN(E4:E15)</f>
        <v>78</v>
      </c>
      <c r="F18" s="16"/>
      <c r="G18" s="9"/>
    </row>
    <row r="19" spans="1:7" ht="17.25" thickBot="1" x14ac:dyDescent="0.35">
      <c r="A19" s="24" t="s">
        <v>42</v>
      </c>
      <c r="B19" s="14"/>
      <c r="C19" s="15">
        <f>AVERAGE(C7:C15)</f>
        <v>96.888888888888886</v>
      </c>
      <c r="D19" s="15">
        <f>AVERAGE(D7:D15)</f>
        <v>88.888888888888886</v>
      </c>
      <c r="E19" s="25">
        <f>AVERAGE(E7:E15)</f>
        <v>94.333333333333329</v>
      </c>
      <c r="F19" s="16"/>
      <c r="G19" s="9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30" zoomScaleNormal="130" workbookViewId="0">
      <selection activeCell="G7" sqref="G7"/>
    </sheetView>
  </sheetViews>
  <sheetFormatPr defaultRowHeight="16.5" x14ac:dyDescent="0.3"/>
  <cols>
    <col min="1" max="5" width="13.625" customWidth="1"/>
  </cols>
  <sheetData>
    <row r="1" spans="1:5" ht="26.25" x14ac:dyDescent="0.3">
      <c r="A1" s="30" t="s">
        <v>49</v>
      </c>
      <c r="B1" s="31"/>
      <c r="C1" s="31"/>
      <c r="D1" s="31"/>
      <c r="E1" s="31"/>
    </row>
    <row r="3" spans="1:5" x14ac:dyDescent="0.3">
      <c r="A3" s="32" t="s">
        <v>50</v>
      </c>
      <c r="B3" s="32" t="s">
        <v>51</v>
      </c>
      <c r="C3" s="32" t="s">
        <v>52</v>
      </c>
      <c r="D3" s="32" t="s">
        <v>53</v>
      </c>
      <c r="E3" s="32" t="s">
        <v>54</v>
      </c>
    </row>
    <row r="4" spans="1:5" x14ac:dyDescent="0.3">
      <c r="A4" s="10">
        <v>1010</v>
      </c>
      <c r="B4" s="10" t="s">
        <v>64</v>
      </c>
      <c r="C4" s="10" t="s">
        <v>72</v>
      </c>
      <c r="D4" s="10" t="s">
        <v>79</v>
      </c>
      <c r="E4" s="33">
        <v>42009</v>
      </c>
    </row>
    <row r="5" spans="1:5" x14ac:dyDescent="0.3">
      <c r="A5" s="10">
        <v>1004</v>
      </c>
      <c r="B5" s="10" t="s">
        <v>58</v>
      </c>
      <c r="C5" s="10" t="s">
        <v>68</v>
      </c>
      <c r="D5" s="10" t="s">
        <v>76</v>
      </c>
      <c r="E5" s="33">
        <v>42510</v>
      </c>
    </row>
    <row r="6" spans="1:5" x14ac:dyDescent="0.3">
      <c r="A6" s="10">
        <v>1007</v>
      </c>
      <c r="B6" s="10" t="s">
        <v>61</v>
      </c>
      <c r="C6" s="10" t="s">
        <v>69</v>
      </c>
      <c r="D6" s="10" t="s">
        <v>78</v>
      </c>
      <c r="E6" s="33">
        <v>43069</v>
      </c>
    </row>
    <row r="7" spans="1:5" x14ac:dyDescent="0.3">
      <c r="A7" s="10">
        <v>1002</v>
      </c>
      <c r="B7" s="10" t="s">
        <v>56</v>
      </c>
      <c r="C7" s="10" t="s">
        <v>66</v>
      </c>
      <c r="D7" s="10" t="s">
        <v>74</v>
      </c>
      <c r="E7" s="33">
        <v>43282</v>
      </c>
    </row>
    <row r="8" spans="1:5" x14ac:dyDescent="0.3">
      <c r="A8" s="10">
        <v>1006</v>
      </c>
      <c r="B8" s="10" t="s">
        <v>60</v>
      </c>
      <c r="C8" s="10" t="s">
        <v>68</v>
      </c>
      <c r="D8" s="10" t="s">
        <v>74</v>
      </c>
      <c r="E8" s="33">
        <v>43510</v>
      </c>
    </row>
    <row r="9" spans="1:5" x14ac:dyDescent="0.3">
      <c r="A9" s="10">
        <v>1009</v>
      </c>
      <c r="B9" s="10" t="s">
        <v>63</v>
      </c>
      <c r="C9" s="10" t="s">
        <v>71</v>
      </c>
      <c r="D9" s="10" t="s">
        <v>80</v>
      </c>
      <c r="E9" s="33">
        <v>43905</v>
      </c>
    </row>
    <row r="10" spans="1:5" x14ac:dyDescent="0.3">
      <c r="A10" s="10">
        <v>1005</v>
      </c>
      <c r="B10" s="10" t="s">
        <v>59</v>
      </c>
      <c r="C10" s="10" t="s">
        <v>66</v>
      </c>
      <c r="D10" s="10" t="s">
        <v>77</v>
      </c>
      <c r="E10" s="33">
        <v>44440</v>
      </c>
    </row>
    <row r="11" spans="1:5" x14ac:dyDescent="0.3">
      <c r="A11" s="10">
        <v>1003</v>
      </c>
      <c r="B11" s="10" t="s">
        <v>57</v>
      </c>
      <c r="C11" s="10" t="s">
        <v>67</v>
      </c>
      <c r="D11" s="10" t="s">
        <v>75</v>
      </c>
      <c r="E11" s="33">
        <v>44936</v>
      </c>
    </row>
    <row r="12" spans="1:5" x14ac:dyDescent="0.3">
      <c r="A12" s="10">
        <v>1008</v>
      </c>
      <c r="B12" s="10" t="s">
        <v>62</v>
      </c>
      <c r="C12" s="10" t="s">
        <v>70</v>
      </c>
      <c r="D12" s="10" t="s">
        <v>75</v>
      </c>
      <c r="E12" s="33">
        <v>45005</v>
      </c>
    </row>
  </sheetData>
  <autoFilter ref="A3:E12">
    <sortState ref="A4:E12">
      <sortCondition ref="E3:E13"/>
    </sortState>
  </autoFilter>
  <sortState ref="A4:E13">
    <sortCondition descending="1" ref="E4:E13"/>
  </sortState>
  <mergeCells count="1">
    <mergeCell ref="A1:E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="115" zoomScaleNormal="115" workbookViewId="0">
      <selection activeCell="D10" sqref="D10"/>
    </sheetView>
  </sheetViews>
  <sheetFormatPr defaultRowHeight="16.5" x14ac:dyDescent="0.3"/>
  <cols>
    <col min="1" max="6" width="16.5" customWidth="1"/>
  </cols>
  <sheetData>
    <row r="1" spans="1:6" ht="26.25" x14ac:dyDescent="0.3">
      <c r="A1" s="35" t="s">
        <v>81</v>
      </c>
      <c r="B1" s="36"/>
      <c r="C1" s="36"/>
      <c r="D1" s="36"/>
      <c r="E1" s="36"/>
      <c r="F1" s="36"/>
    </row>
    <row r="2" spans="1:6" x14ac:dyDescent="0.3">
      <c r="A2" s="38"/>
      <c r="B2" s="37"/>
      <c r="C2" s="37"/>
      <c r="D2" s="37"/>
      <c r="E2" s="37"/>
      <c r="F2" s="39"/>
    </row>
    <row r="3" spans="1:6" x14ac:dyDescent="0.3">
      <c r="A3" s="34" t="s">
        <v>82</v>
      </c>
      <c r="B3" s="34" t="s">
        <v>83</v>
      </c>
      <c r="C3" s="34" t="s">
        <v>84</v>
      </c>
      <c r="D3" s="34" t="s">
        <v>85</v>
      </c>
      <c r="E3" s="34" t="s">
        <v>86</v>
      </c>
      <c r="F3" s="34" t="s">
        <v>87</v>
      </c>
    </row>
    <row r="4" spans="1:6" x14ac:dyDescent="0.3">
      <c r="A4" s="10" t="s">
        <v>88</v>
      </c>
      <c r="B4" s="10" t="s">
        <v>96</v>
      </c>
      <c r="C4" s="12" t="s">
        <v>113</v>
      </c>
      <c r="D4" s="10">
        <v>25</v>
      </c>
      <c r="E4" s="10">
        <v>20</v>
      </c>
      <c r="F4" s="10" t="str">
        <f>IF(D4&lt;E4*0.5,"긴급", IF(D4&lt;E4,"부족","정상"))</f>
        <v>정상</v>
      </c>
    </row>
    <row r="5" spans="1:6" x14ac:dyDescent="0.3">
      <c r="A5" s="10" t="s">
        <v>89</v>
      </c>
      <c r="B5" s="10" t="s">
        <v>97</v>
      </c>
      <c r="C5" s="12" t="s">
        <v>113</v>
      </c>
      <c r="D5" s="10">
        <v>31</v>
      </c>
      <c r="E5" s="10">
        <v>30</v>
      </c>
      <c r="F5" s="10" t="str">
        <f t="shared" ref="F5:F11" si="0">IF(D5&lt;E5*0.5,"긴급", IF(D5&lt;E5,"부족","정상"))</f>
        <v>정상</v>
      </c>
    </row>
    <row r="6" spans="1:6" x14ac:dyDescent="0.3">
      <c r="A6" s="10" t="s">
        <v>90</v>
      </c>
      <c r="B6" s="10" t="s">
        <v>98</v>
      </c>
      <c r="C6" s="12" t="s">
        <v>104</v>
      </c>
      <c r="D6" s="10">
        <v>23</v>
      </c>
      <c r="E6" s="10">
        <v>15</v>
      </c>
      <c r="F6" s="10" t="str">
        <f t="shared" si="0"/>
        <v>정상</v>
      </c>
    </row>
    <row r="7" spans="1:6" x14ac:dyDescent="0.3">
      <c r="A7" s="10" t="s">
        <v>91</v>
      </c>
      <c r="B7" s="10" t="s">
        <v>99</v>
      </c>
      <c r="C7" s="12" t="s">
        <v>104</v>
      </c>
      <c r="D7" s="10">
        <v>22</v>
      </c>
      <c r="E7" s="10">
        <v>20</v>
      </c>
      <c r="F7" s="10" t="str">
        <f t="shared" si="0"/>
        <v>정상</v>
      </c>
    </row>
    <row r="8" spans="1:6" x14ac:dyDescent="0.3">
      <c r="A8" s="10" t="s">
        <v>92</v>
      </c>
      <c r="B8" s="10" t="s">
        <v>100</v>
      </c>
      <c r="C8" s="12" t="s">
        <v>113</v>
      </c>
      <c r="D8" s="10">
        <v>27</v>
      </c>
      <c r="E8" s="10">
        <v>25</v>
      </c>
      <c r="F8" s="10" t="str">
        <f t="shared" si="0"/>
        <v>정상</v>
      </c>
    </row>
    <row r="9" spans="1:6" x14ac:dyDescent="0.3">
      <c r="A9" s="10" t="s">
        <v>93</v>
      </c>
      <c r="B9" s="10" t="s">
        <v>101</v>
      </c>
      <c r="C9" s="12" t="s">
        <v>113</v>
      </c>
      <c r="D9" s="10">
        <v>1</v>
      </c>
      <c r="E9" s="10">
        <v>30</v>
      </c>
      <c r="F9" s="10" t="str">
        <f t="shared" si="0"/>
        <v>긴급</v>
      </c>
    </row>
    <row r="10" spans="1:6" x14ac:dyDescent="0.3">
      <c r="A10" s="10" t="s">
        <v>94</v>
      </c>
      <c r="B10" s="10" t="s">
        <v>102</v>
      </c>
      <c r="C10" s="44" t="s">
        <v>105</v>
      </c>
      <c r="D10" s="10">
        <v>18</v>
      </c>
      <c r="E10" s="10">
        <v>10</v>
      </c>
      <c r="F10" s="10" t="str">
        <f t="shared" si="0"/>
        <v>정상</v>
      </c>
    </row>
    <row r="11" spans="1:6" x14ac:dyDescent="0.3">
      <c r="A11" s="10" t="s">
        <v>95</v>
      </c>
      <c r="B11" s="45" t="s">
        <v>103</v>
      </c>
      <c r="C11" s="12" t="s">
        <v>114</v>
      </c>
      <c r="D11" s="46">
        <v>19</v>
      </c>
      <c r="E11" s="10">
        <v>15</v>
      </c>
      <c r="F11" s="10" t="str">
        <f t="shared" si="0"/>
        <v>정상</v>
      </c>
    </row>
    <row r="12" spans="1:6" x14ac:dyDescent="0.3">
      <c r="C12" s="40"/>
    </row>
    <row r="13" spans="1:6" x14ac:dyDescent="0.3">
      <c r="A13" s="43" t="s">
        <v>106</v>
      </c>
      <c r="B13" s="43"/>
    </row>
    <row r="14" spans="1:6" x14ac:dyDescent="0.3">
      <c r="A14" s="42" t="s">
        <v>107</v>
      </c>
      <c r="B14" s="10">
        <f>COUNTA(D4:D11)</f>
        <v>8</v>
      </c>
    </row>
    <row r="15" spans="1:6" x14ac:dyDescent="0.3">
      <c r="A15" s="42" t="s">
        <v>108</v>
      </c>
      <c r="B15" s="10">
        <f>COUNTIF(F4:F11,"부족")</f>
        <v>0</v>
      </c>
    </row>
    <row r="16" spans="1:6" x14ac:dyDescent="0.3">
      <c r="A16" s="12" t="s">
        <v>115</v>
      </c>
      <c r="B16" s="10">
        <f>COUNTIF(F4:F11,"긴급")</f>
        <v>1</v>
      </c>
    </row>
    <row r="17" spans="1:2" x14ac:dyDescent="0.3">
      <c r="A17" s="42" t="s">
        <v>109</v>
      </c>
      <c r="B17" s="10">
        <f>COUNTIF(C4:C11,"전자제품")</f>
        <v>5</v>
      </c>
    </row>
    <row r="18" spans="1:2" x14ac:dyDescent="0.3">
      <c r="A18" s="41" t="s">
        <v>110</v>
      </c>
      <c r="B18" s="10">
        <f>COUNTIF(C4:C11,"가구")</f>
        <v>3</v>
      </c>
    </row>
    <row r="19" spans="1:2" x14ac:dyDescent="0.3">
      <c r="A19" s="12" t="s">
        <v>112</v>
      </c>
      <c r="B19" s="10">
        <f>SUMIF(C4:C11,"전자제품",D4:D11)</f>
        <v>103</v>
      </c>
    </row>
    <row r="20" spans="1:2" x14ac:dyDescent="0.3">
      <c r="A20" s="10" t="s">
        <v>111</v>
      </c>
      <c r="B20" s="10">
        <f>SUMIF(C4:C11,"가구",D4:D11)</f>
        <v>63</v>
      </c>
    </row>
  </sheetData>
  <mergeCells count="3">
    <mergeCell ref="A1:F1"/>
    <mergeCell ref="A2:F2"/>
    <mergeCell ref="A13:B13"/>
  </mergeCells>
  <phoneticPr fontId="3" type="noConversion"/>
  <conditionalFormatting sqref="F4:F11">
    <cfRule type="containsText" dxfId="3" priority="5" operator="containsText" text="부족">
      <formula>NOT(ISERROR(SEARCH("부족",F4)))</formula>
    </cfRule>
  </conditionalFormatting>
  <conditionalFormatting sqref="F4:F11">
    <cfRule type="expression" dxfId="2" priority="2">
      <formula>F4="정상"</formula>
    </cfRule>
    <cfRule type="expression" dxfId="1" priority="4">
      <formula>F4="부족"</formula>
    </cfRule>
  </conditionalFormatting>
  <conditionalFormatting sqref="F4:F11">
    <cfRule type="expression" dxfId="0" priority="1">
      <formula>F4="긴급"</formula>
    </cfRule>
  </conditionalFormatting>
  <dataValidations count="1">
    <dataValidation type="list" allowBlank="1" showInputMessage="1" showErrorMessage="1" sqref="C4:C11">
      <formula1>"전자제품,가구"</formula1>
    </dataValidation>
  </dataValidations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30" zoomScaleNormal="130" workbookViewId="0">
      <selection activeCell="E7" sqref="E7"/>
    </sheetView>
  </sheetViews>
  <sheetFormatPr defaultRowHeight="16.5" x14ac:dyDescent="0.3"/>
  <cols>
    <col min="1" max="5" width="13.625" customWidth="1"/>
  </cols>
  <sheetData>
    <row r="1" spans="1:5" ht="26.25" x14ac:dyDescent="0.3">
      <c r="A1" s="30" t="s">
        <v>49</v>
      </c>
      <c r="B1" s="31"/>
      <c r="C1" s="31"/>
      <c r="D1" s="31"/>
      <c r="E1" s="31"/>
    </row>
    <row r="3" spans="1:5" x14ac:dyDescent="0.3">
      <c r="A3" s="26" t="s">
        <v>50</v>
      </c>
      <c r="B3" s="26" t="s">
        <v>51</v>
      </c>
      <c r="C3" s="26" t="s">
        <v>52</v>
      </c>
      <c r="D3" s="26" t="s">
        <v>53</v>
      </c>
      <c r="E3" s="26" t="s">
        <v>54</v>
      </c>
    </row>
    <row r="4" spans="1:5" x14ac:dyDescent="0.3">
      <c r="A4" s="7">
        <v>1009</v>
      </c>
      <c r="B4" s="7" t="s">
        <v>63</v>
      </c>
      <c r="C4" s="7" t="s">
        <v>71</v>
      </c>
      <c r="D4" s="7" t="s">
        <v>77</v>
      </c>
      <c r="E4" s="27">
        <v>43905</v>
      </c>
    </row>
    <row r="5" spans="1:5" x14ac:dyDescent="0.3">
      <c r="A5" s="7">
        <v>1001</v>
      </c>
      <c r="B5" s="7" t="s">
        <v>55</v>
      </c>
      <c r="C5" s="7" t="s">
        <v>65</v>
      </c>
      <c r="D5" s="7" t="s">
        <v>73</v>
      </c>
      <c r="E5" s="27">
        <v>43905</v>
      </c>
    </row>
    <row r="6" spans="1:5" x14ac:dyDescent="0.3">
      <c r="A6" s="7">
        <v>1005</v>
      </c>
      <c r="B6" s="7" t="s">
        <v>59</v>
      </c>
      <c r="C6" s="7" t="s">
        <v>66</v>
      </c>
      <c r="D6" s="7" t="s">
        <v>77</v>
      </c>
      <c r="E6" s="27">
        <v>44440</v>
      </c>
    </row>
    <row r="7" spans="1:5" x14ac:dyDescent="0.3">
      <c r="A7" s="7">
        <v>1003</v>
      </c>
      <c r="B7" s="7" t="s">
        <v>57</v>
      </c>
      <c r="C7" s="7" t="s">
        <v>67</v>
      </c>
      <c r="D7" s="7" t="s">
        <v>75</v>
      </c>
      <c r="E7" s="27">
        <v>44936</v>
      </c>
    </row>
    <row r="8" spans="1:5" x14ac:dyDescent="0.3">
      <c r="A8" s="7">
        <v>1007</v>
      </c>
      <c r="B8" s="7" t="s">
        <v>61</v>
      </c>
      <c r="C8" s="7" t="s">
        <v>69</v>
      </c>
      <c r="D8" s="7" t="s">
        <v>78</v>
      </c>
      <c r="E8" s="27">
        <v>43069</v>
      </c>
    </row>
    <row r="9" spans="1:5" x14ac:dyDescent="0.3">
      <c r="A9" s="7">
        <v>1008</v>
      </c>
      <c r="B9" s="7" t="s">
        <v>62</v>
      </c>
      <c r="C9" s="7" t="s">
        <v>70</v>
      </c>
      <c r="D9" s="7" t="s">
        <v>75</v>
      </c>
      <c r="E9" s="27">
        <v>45005</v>
      </c>
    </row>
    <row r="10" spans="1:5" x14ac:dyDescent="0.3">
      <c r="A10" s="7">
        <v>1002</v>
      </c>
      <c r="B10" s="7" t="s">
        <v>56</v>
      </c>
      <c r="C10" s="7" t="s">
        <v>66</v>
      </c>
      <c r="D10" s="7" t="s">
        <v>74</v>
      </c>
      <c r="E10" s="27">
        <v>43282</v>
      </c>
    </row>
    <row r="11" spans="1:5" x14ac:dyDescent="0.3">
      <c r="A11" s="7">
        <v>1006</v>
      </c>
      <c r="B11" s="7" t="s">
        <v>60</v>
      </c>
      <c r="C11" s="7" t="s">
        <v>68</v>
      </c>
      <c r="D11" s="7" t="s">
        <v>74</v>
      </c>
      <c r="E11" s="27">
        <v>43510</v>
      </c>
    </row>
    <row r="12" spans="1:5" x14ac:dyDescent="0.3">
      <c r="A12" s="7">
        <v>1004</v>
      </c>
      <c r="B12" s="7" t="s">
        <v>58</v>
      </c>
      <c r="C12" s="7" t="s">
        <v>68</v>
      </c>
      <c r="D12" s="7" t="s">
        <v>76</v>
      </c>
      <c r="E12" s="27">
        <v>42510</v>
      </c>
    </row>
    <row r="13" spans="1:5" x14ac:dyDescent="0.3">
      <c r="A13" s="7">
        <v>1010</v>
      </c>
      <c r="B13" s="7" t="s">
        <v>64</v>
      </c>
      <c r="C13" s="7" t="s">
        <v>72</v>
      </c>
      <c r="D13" s="7" t="s">
        <v>79</v>
      </c>
      <c r="E13" s="27">
        <v>42009</v>
      </c>
    </row>
  </sheetData>
  <autoFilter ref="A3:E13">
    <sortState ref="A4:E12">
      <sortCondition ref="E3:E13"/>
    </sortState>
  </autoFilter>
  <mergeCells count="1">
    <mergeCell ref="A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직원관리명단표</vt:lpstr>
      <vt:lpstr>재고 관리표</vt:lpstr>
      <vt:lpstr>직원관리명단표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2025-12-31T02:02:50Z</dcterms:created>
  <dcterms:modified xsi:type="dcterms:W3CDTF">2026-01-07T08:21:13Z</dcterms:modified>
</cp:coreProperties>
</file>